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说明" sheetId="1" state="visible" r:id="rId1"/>
    <sheet xmlns:r="http://schemas.openxmlformats.org/officeDocument/2006/relationships" name="01_GPIO需求汇总" sheetId="2" state="visible" r:id="rId2"/>
    <sheet xmlns:r="http://schemas.openxmlformats.org/officeDocument/2006/relationships" name="02_需求分类" sheetId="3" state="visible" r:id="rId3"/>
    <sheet xmlns:r="http://schemas.openxmlformats.org/officeDocument/2006/relationships" name="03_A5E剩余资源" sheetId="4" state="visible" r:id="rId4"/>
    <sheet xmlns:r="http://schemas.openxmlformats.org/officeDocument/2006/relationships" name="04_资源对账" sheetId="5" state="visible" r:id="rId5"/>
    <sheet xmlns:r="http://schemas.openxmlformats.org/officeDocument/2006/relationships" name="05_分配方案比较" sheetId="6" state="visible" r:id="rId6"/>
    <sheet xmlns:r="http://schemas.openxmlformats.org/officeDocument/2006/relationships" name="06_信号域设计细节" sheetId="7" state="visible" r:id="rId7"/>
    <sheet xmlns:r="http://schemas.openxmlformats.org/officeDocument/2006/relationships" name="07_待确认闭环项" sheetId="8" state="visible" r:id="rId8"/>
    <sheet xmlns:r="http://schemas.openxmlformats.org/officeDocument/2006/relationships" name="08_决策层摘要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i val="1"/>
      <color rgb="00666666"/>
      <sz val="10"/>
    </font>
    <font>
      <name val="Microsoft YaHei"/>
      <b val="1"/>
      <color rgb="00FFFFFF"/>
      <sz val="10"/>
    </font>
    <font>
      <name val="Microsoft YaHei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FFFFFF"/>
      </patternFill>
    </fill>
    <fill>
      <patternFill patternType="solid">
        <fgColor rgb="00F4CC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IntroTable" displayName="IntroTable" ref="A4:D9" headerRowCount="1">
  <autoFilter ref="A4:D9"/>
  <tableColumns count="4">
    <tableColumn id="1" name="项目"/>
    <tableColumn id="2" name="内容"/>
    <tableColumn id="3" name="项目"/>
    <tableColumn id="4" name="内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GpioRequirementTable" displayName="GpioRequirementTable" ref="A4:H12" headerRowCount="1">
  <autoFilter ref="A4:H12"/>
  <tableColumns count="8">
    <tableColumn id="1" name="序号"/>
    <tableColumn id="2" name="GPIO 数量"/>
    <tableColumn id="3" name="来源/用途"/>
    <tableColumn id="4" name="VDDIO 要求"/>
    <tableColumn id="5" name="备注"/>
    <tableColumn id="6" name="需求分类"/>
    <tableColumn id="7" name="初步承接资源"/>
    <tableColumn id="8" name="状态 / 待确认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quirementClassTable" displayName="RequirementClassTable" ref="A4:F7" headerRowCount="1">
  <autoFilter ref="A4:F7"/>
  <tableColumns count="6">
    <tableColumn id="1" name="类型"/>
    <tableColumn id="2" name="GPIO 数量"/>
    <tableColumn id="3" name="电平要求"/>
    <tableColumn id="4" name="首选资源"/>
    <tableColumn id="5" name="分配原则"/>
    <tableColumn id="6" name="备注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A5eResourceTable" displayName="A5eResourceTable" ref="A4:H11" headerRowCount="1">
  <autoFilter ref="A4:H11"/>
  <tableColumns count="8">
    <tableColumn id="1" name="资源 ID"/>
    <tableColumn id="2" name="GPIO 数量"/>
    <tableColumn id="3" name="来源"/>
    <tableColumn id="4" name="VDDIO 范围 / 特性"/>
    <tableColumn id="5" name="风险项"/>
    <tableColumn id="6" name="可用性"/>
    <tableColumn id="7" name="推荐用途"/>
    <tableColumn id="8" name="待确认证据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ResourceReconcileTable" displayName="ResourceReconcileTable" ref="A4:G16" headerRowCount="1">
  <autoFilter ref="A4:G16"/>
  <tableColumns count="7">
    <tableColumn id="1" name="口径"/>
    <tableColumn id="2" name="项目"/>
    <tableColumn id="3" name="数量"/>
    <tableColumn id="4" name="单位"/>
    <tableColumn id="5" name="计算 / 来源"/>
    <tableColumn id="6" name="判断"/>
    <tableColumn id="7" name="说明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AllocationSchemeTable" displayName="AllocationSchemeTable" ref="A4:H9" headerRowCount="1">
  <autoFilter ref="A4:H9"/>
  <tableColumns count="8">
    <tableColumn id="1" name="方案"/>
    <tableColumn id="2" name="目标"/>
    <tableColumn id="3" name="GPIO 分配思路"/>
    <tableColumn id="4" name="优势"/>
    <tableColumn id="5" name="主要限制 / 风险"/>
    <tableColumn id="6" name="适用条件"/>
    <tableColumn id="7" name="风险等级"/>
    <tableColumn id="8" name="下一步动作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ignalDomainDetailTable" displayName="SignalDomainDetailTable" ref="A4:F11" headerRowCount="1">
  <autoFilter ref="A4:F11"/>
  <tableColumns count="6">
    <tableColumn id="1" name="信号组"/>
    <tableColumn id="2" name="数量"/>
    <tableColumn id="3" name="电平域"/>
    <tableColumn id="4" name="接口 / 来源"/>
    <tableColumn id="5" name="原理图设计建议"/>
    <tableColumn id="6" name="必须确认项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ClosureTodoTable" displayName="ClosureTodoTable" ref="A4:G11" headerRowCount="1">
  <autoFilter ref="A4:G11"/>
  <tableColumns count="7">
    <tableColumn id="1" name="序号"/>
    <tableColumn id="2" name="闭环项"/>
    <tableColumn id="3" name="要确认的问题"/>
    <tableColumn id="4" name="Owner"/>
    <tableColumn id="5" name="证据来源"/>
    <tableColumn id="6" name="状态"/>
    <tableColumn id="7" name="影响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DecisionSummaryTable" displayName="DecisionSummaryTable" ref="A4:D9" headerRowCount="1">
  <autoFilter ref="A4:D9"/>
  <tableColumns count="4">
    <tableColumn id="1" name="类别"/>
    <tableColumn id="2" name="技术事实"/>
    <tableColumn id="3" name="业务影响"/>
    <tableColumn id="4" name="风险等级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0" customWidth="1" min="3" max="3"/>
    <col width="48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8" customHeight="1">
      <c r="A1" s="1" t="inlineStr">
        <is>
          <t>A38 + A5EC052A_B32 低速 GPIO 需求与资源评估</t>
        </is>
      </c>
    </row>
    <row r="2" ht="36" customHeight="1">
      <c r="A2" s="2" t="inlineStr">
        <is>
          <t>基于用户 2026-05-12 提供的当前 GPIO 资源状态整理；HSIO 中 LPDDR5/MIPI、GTS 中 QSFP 已按当前设计前提处理。</t>
        </is>
      </c>
    </row>
    <row r="3" ht="18" customHeight="1"/>
    <row r="4" ht="18" customHeight="1">
      <c r="A4" s="3" t="inlineStr">
        <is>
          <t>项目</t>
        </is>
      </c>
      <c r="B4" s="3" t="inlineStr">
        <is>
          <t>内容</t>
        </is>
      </c>
      <c r="C4" s="3" t="inlineStr">
        <is>
          <t>项目</t>
        </is>
      </c>
      <c r="D4" s="3" t="inlineStr">
        <is>
          <t>内容</t>
        </is>
      </c>
    </row>
    <row r="5" ht="18" customHeight="1">
      <c r="A5" s="4" t="inlineStr">
        <is>
          <t>生成日期</t>
        </is>
      </c>
      <c r="B5" s="4" t="inlineStr">
        <is>
          <t>2026-05-12</t>
        </is>
      </c>
      <c r="C5" s="4" t="inlineStr">
        <is>
          <t>文件性质</t>
        </is>
      </c>
      <c r="D5" s="4" t="inlineStr">
        <is>
          <t>项目过程设计证据 / GPIO 资源评估表，不是 sign-off 关闭结论</t>
        </is>
      </c>
    </row>
    <row r="6" ht="18" customHeight="1">
      <c r="A6" s="4" t="inlineStr">
        <is>
          <t>当前基线</t>
        </is>
      </c>
      <c r="B6" s="4" t="inlineStr">
        <is>
          <t>LPDDR5 与 MIPI 已在 HSIO 内 assign；QSFP 高速侧已在 GTS assign。</t>
        </is>
      </c>
      <c r="C6" s="4" t="inlineStr">
        <is>
          <t>本表范围</t>
        </is>
      </c>
      <c r="D6" s="4" t="inlineStr">
        <is>
          <t>普通低速 GPIO 需求、A5E 剩余 GPIO 资源、VDDIO 兼容性和分配草案</t>
        </is>
      </c>
    </row>
    <row r="7" ht="18" customHeight="1">
      <c r="A7" s="4" t="inlineStr">
        <is>
          <t>需求总量</t>
        </is>
      </c>
      <c r="B7" s="4" t="n">
        <v>205</v>
      </c>
      <c r="C7" s="4" t="inlineStr">
        <is>
          <t>可统计资源</t>
        </is>
      </c>
      <c r="D7" s="4" t="n">
        <v>256</v>
      </c>
    </row>
    <row r="8" ht="18" customHeight="1">
      <c r="A8" s="4" t="inlineStr">
        <is>
          <t>理论余量</t>
        </is>
      </c>
      <c r="B8" s="4">
        <f>D7-B7</f>
        <v/>
      </c>
      <c r="C8" s="4" t="inlineStr">
        <is>
          <t>核心限制</t>
        </is>
      </c>
      <c r="D8" s="4" t="inlineStr">
        <is>
          <t>数量余量不等于电压域闭环；解码板 168 路若要求每路都支持 1.2V~1.8V 可调，不能直接等同于固定 1.2V 或 LPDDR5 同压资源。</t>
        </is>
      </c>
    </row>
    <row r="9" ht="18" customHeight="1">
      <c r="A9" s="4" t="inlineStr">
        <is>
          <t>禁止误用</t>
        </is>
      </c>
      <c r="B9" s="4" t="inlineStr">
        <is>
          <t>GTS 低速 GPIO 资源按 0 处理。</t>
        </is>
      </c>
      <c r="C9" s="4" t="inlineStr">
        <is>
          <t>后续闭环</t>
        </is>
      </c>
      <c r="D9" s="4" t="inlineStr">
        <is>
          <t>Quartus Pin Planner / Fitter、Intel 官方 datasheet、reference design、连接器与解码板电平需求共同确认。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5" customWidth="1" min="3" max="3"/>
    <col width="23" customWidth="1" min="4" max="4"/>
    <col width="13" customWidth="1" min="5" max="5"/>
    <col width="16" customWidth="1" min="6" max="6"/>
    <col width="48" customWidth="1" min="7" max="7"/>
    <col width="48" customWidth="1" min="8" max="8"/>
  </cols>
  <sheetData>
    <row r="1" ht="28" customHeight="1">
      <c r="A1" s="1" t="inlineStr">
        <is>
          <t>GPIO 需求汇总</t>
        </is>
      </c>
    </row>
    <row r="2" ht="36" customHeight="1">
      <c r="A2" s="2" t="inlineStr">
        <is>
          <t>总需求 205 个 GPIO；按用户当前整理口径录入，并补充初步承接资源与闭环状态。</t>
        </is>
      </c>
    </row>
    <row r="3" ht="18" customHeight="1"/>
    <row r="4" ht="18" customHeight="1">
      <c r="A4" s="3" t="inlineStr">
        <is>
          <t>序号</t>
        </is>
      </c>
      <c r="B4" s="3" t="inlineStr">
        <is>
          <t>GPIO 数量</t>
        </is>
      </c>
      <c r="C4" s="3" t="inlineStr">
        <is>
          <t>来源/用途</t>
        </is>
      </c>
      <c r="D4" s="3" t="inlineStr">
        <is>
          <t>VDDIO 要求</t>
        </is>
      </c>
      <c r="E4" s="3" t="inlineStr">
        <is>
          <t>备注</t>
        </is>
      </c>
      <c r="F4" s="3" t="inlineStr">
        <is>
          <t>需求分类</t>
        </is>
      </c>
      <c r="G4" s="3" t="inlineStr">
        <is>
          <t>初步承接资源</t>
        </is>
      </c>
      <c r="H4" s="3" t="inlineStr">
        <is>
          <t>状态 / 待确认</t>
        </is>
      </c>
    </row>
    <row r="5" ht="18" customHeight="1">
      <c r="A5" s="4" t="n">
        <v>1</v>
      </c>
      <c r="B5" s="4" t="n">
        <v>168</v>
      </c>
      <c r="C5" s="4" t="inlineStr">
        <is>
          <t>解码板</t>
        </is>
      </c>
      <c r="D5" s="4" t="inlineStr">
        <is>
          <t>VDDIO 可配置 1.2V ~ 1.8V</t>
        </is>
      </c>
      <c r="E5" s="4" t="inlineStr">
        <is>
          <t>主体 GPIO 需求</t>
        </is>
      </c>
      <c r="F5" s="4" t="inlineStr">
        <is>
          <t>解码板主体 GPIO</t>
        </is>
      </c>
      <c r="G5" s="4" t="inlineStr">
        <is>
          <t>优先放入可跟随解码板 VADJ 的资源；不足时再评估固定 1.2V / LPDDR5 同压 / HVIO 补充</t>
        </is>
      </c>
      <c r="H5" s="4" t="inlineStr">
        <is>
          <t>需先定义“可配置 1.2V~1.8V”是每路全范围可调，还是本版本固定为 1.2V 使用</t>
        </is>
      </c>
    </row>
    <row r="6" ht="18" customHeight="1">
      <c r="A6" s="4" t="n">
        <v>2</v>
      </c>
      <c r="B6" s="4" t="n">
        <v>4</v>
      </c>
      <c r="C6" s="4" t="inlineStr">
        <is>
          <t>解码板相关电源 EN</t>
        </is>
      </c>
      <c r="D6" s="4" t="inlineStr">
        <is>
          <t>3.3V</t>
        </is>
      </c>
      <c r="E6" s="4" t="inlineStr">
        <is>
          <t>电源使能</t>
        </is>
      </c>
      <c r="F6" s="4" t="inlineStr">
        <is>
          <t>3.3V 低速控制 GPIO</t>
        </is>
      </c>
      <c r="G6" s="4" t="inlineStr">
        <is>
          <t>HVIO 3.3V bank</t>
        </is>
      </c>
      <c r="H6" s="4" t="inlineStr">
        <is>
          <t>建议与 PMU/QSFP 管理信号同类归入 3.3V 控制域</t>
        </is>
      </c>
    </row>
    <row r="7" ht="18" customHeight="1">
      <c r="A7" s="4" t="n">
        <v>3</v>
      </c>
      <c r="B7" s="4" t="n">
        <v>14</v>
      </c>
      <c r="C7" s="4" t="inlineStr">
        <is>
          <t>PMU 板</t>
        </is>
      </c>
      <c r="D7" s="4" t="inlineStr">
        <is>
          <t>3.3V</t>
        </is>
      </c>
      <c r="E7" s="4" t="inlineStr">
        <is>
          <t>PMU 控制/状态</t>
        </is>
      </c>
      <c r="F7" s="4" t="inlineStr">
        <is>
          <t>3.3V 低速控制 GPIO</t>
        </is>
      </c>
      <c r="G7" s="4" t="inlineStr">
        <is>
          <t>HVIO 3.3V bank</t>
        </is>
      </c>
      <c r="H7" s="4" t="inlineStr">
        <is>
          <t>状态输入/中断/使能需确认方向、上拉、默认态和上电时序</t>
        </is>
      </c>
    </row>
    <row r="8" ht="18" customHeight="1">
      <c r="A8" s="4" t="n">
        <v>4</v>
      </c>
      <c r="B8" s="4" t="n">
        <v>7</v>
      </c>
      <c r="C8" s="4" t="inlineStr">
        <is>
          <t>QSFP</t>
        </is>
      </c>
      <c r="D8" s="4" t="inlineStr">
        <is>
          <t>3.3V</t>
        </is>
      </c>
      <c r="E8" s="4" t="inlineStr">
        <is>
          <t>QSFP 相关控制信号</t>
        </is>
      </c>
      <c r="F8" s="4" t="inlineStr">
        <is>
          <t>3.3V 低速控制 GPIO</t>
        </is>
      </c>
      <c r="G8" s="4" t="inlineStr">
        <is>
          <t>HVIO 3.3V bank</t>
        </is>
      </c>
      <c r="H8" s="4" t="inlineStr">
        <is>
          <t>高速差分走 GTS；本行只覆盖 MODSEL/RESET/INT/LPMODE/I2C 等低速管理类信号</t>
        </is>
      </c>
    </row>
    <row r="9" ht="18" customHeight="1">
      <c r="A9" s="4" t="n">
        <v>5</v>
      </c>
      <c r="B9" s="4" t="n">
        <v>4</v>
      </c>
      <c r="C9" s="4" t="inlineStr">
        <is>
          <t>加密 / 注册芯片 I2C</t>
        </is>
      </c>
      <c r="D9" s="4" t="inlineStr">
        <is>
          <t>3.3V</t>
        </is>
      </c>
      <c r="E9" s="4" t="inlineStr">
        <is>
          <t>I2C 类低速接口</t>
        </is>
      </c>
      <c r="F9" s="4" t="inlineStr">
        <is>
          <t>3.3V 低速控制 GPIO</t>
        </is>
      </c>
      <c r="G9" s="4" t="inlineStr">
        <is>
          <t>HVIO 3.3V bank</t>
        </is>
      </c>
      <c r="H9" s="4" t="inlineStr">
        <is>
          <t>按 open-drain 处理，确认上拉电源域、地址冲突和启动阶段可访问性</t>
        </is>
      </c>
    </row>
    <row r="10" ht="18" customHeight="1">
      <c r="A10" s="4" t="n">
        <v>6</v>
      </c>
      <c r="B10" s="4" t="n">
        <v>4</v>
      </c>
      <c r="C10" s="4" t="inlineStr">
        <is>
          <t>DEV ID</t>
        </is>
      </c>
      <c r="D10" s="4" t="inlineStr">
        <is>
          <t>3.3V</t>
        </is>
      </c>
      <c r="E10" s="4" t="inlineStr">
        <is>
          <t>板卡 ID 配置</t>
        </is>
      </c>
      <c r="F10" s="4" t="inlineStr">
        <is>
          <t>3.3V 低速控制 GPIO</t>
        </is>
      </c>
      <c r="G10" s="4" t="inlineStr">
        <is>
          <t>HVIO 3.3V bank</t>
        </is>
      </c>
      <c r="H10" s="4" t="inlineStr">
        <is>
          <t>建议作为输入 strap，确认上下拉默认值和量产配置表</t>
        </is>
      </c>
    </row>
    <row r="11" ht="18" customHeight="1">
      <c r="A11" s="4" t="n">
        <v>7</v>
      </c>
      <c r="B11" s="4" t="n">
        <v>4</v>
      </c>
      <c r="C11" s="4" t="inlineStr">
        <is>
          <t>外部扩展 IO，客户用</t>
        </is>
      </c>
      <c r="D11" s="4" t="inlineStr">
        <is>
          <t>3.3V</t>
        </is>
      </c>
      <c r="E11" s="4" t="inlineStr">
        <is>
          <t>预留扩展</t>
        </is>
      </c>
      <c r="F11" s="4" t="inlineStr">
        <is>
          <t>3.3V 低速控制 GPIO</t>
        </is>
      </c>
      <c r="G11" s="4" t="inlineStr">
        <is>
          <t>HVIO 3.3V bank</t>
        </is>
      </c>
      <c r="H11" s="4" t="inlineStr">
        <is>
          <t>建议加 ESD/串阻/方向约束，避免客户侧反灌影响 FPGA</t>
        </is>
      </c>
    </row>
    <row r="12" ht="18" customHeight="1">
      <c r="A12" s="4" t="inlineStr">
        <is>
          <t>合计</t>
        </is>
      </c>
      <c r="B12" s="4">
        <f>SUM(B5:B11)</f>
        <v/>
      </c>
      <c r="C12" s="4" t="inlineStr"/>
      <c r="D12" s="4" t="inlineStr"/>
      <c r="E12" s="4" t="inlineStr"/>
      <c r="F12" s="4" t="inlineStr"/>
      <c r="G12" s="4" t="inlineStr"/>
      <c r="H12" s="4" t="inlineStr">
        <is>
          <t>应等于 205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3" customWidth="1" min="2" max="2"/>
    <col width="13" customWidth="1" min="3" max="3"/>
    <col width="22" customWidth="1" min="4" max="4"/>
    <col width="39" customWidth="1" min="5" max="5"/>
    <col width="23" customWidth="1" min="6" max="6"/>
  </cols>
  <sheetData>
    <row r="1" ht="28" customHeight="1">
      <c r="A1" s="1" t="inlineStr">
        <is>
          <t>需求分类</t>
        </is>
      </c>
    </row>
    <row r="2" ht="36" customHeight="1">
      <c r="A2" s="2" t="inlineStr">
        <is>
          <t>按电平域将 205 路需求拆成解码板主体 GPIO 与 3.3V 低速控制 GPIO。</t>
        </is>
      </c>
    </row>
    <row r="3" ht="18" customHeight="1"/>
    <row r="4" ht="18" customHeight="1">
      <c r="A4" s="3" t="inlineStr">
        <is>
          <t>类型</t>
        </is>
      </c>
      <c r="B4" s="3" t="inlineStr">
        <is>
          <t>GPIO 数量</t>
        </is>
      </c>
      <c r="C4" s="3" t="inlineStr">
        <is>
          <t>电平要求</t>
        </is>
      </c>
      <c r="D4" s="3" t="inlineStr">
        <is>
          <t>首选资源</t>
        </is>
      </c>
      <c r="E4" s="3" t="inlineStr">
        <is>
          <t>分配原则</t>
        </is>
      </c>
      <c r="F4" s="3" t="inlineStr">
        <is>
          <t>备注</t>
        </is>
      </c>
    </row>
    <row r="5" ht="18" customHeight="1">
      <c r="A5" s="4" t="inlineStr">
        <is>
          <t>解码板主体 GPIO</t>
        </is>
      </c>
      <c r="B5" s="4" t="n">
        <v>168</v>
      </c>
      <c r="C5" s="4" t="inlineStr">
        <is>
          <t>1.2V ~ 1.8V</t>
        </is>
      </c>
      <c r="D5" s="4" t="inlineStr">
        <is>
          <t>优先可调 VDDIO / VADJ 资源</t>
        </is>
      </c>
      <c r="E5" s="4" t="inlineStr">
        <is>
          <t>如果要求全范围可调，固定 1.2V HSIO 不应直接计入可满足资源</t>
        </is>
      </c>
      <c r="F5" s="4" t="inlineStr">
        <is>
          <t>需要与解码板供电策略绑定</t>
        </is>
      </c>
    </row>
    <row r="6" ht="18" customHeight="1">
      <c r="A6" s="4" t="inlineStr">
        <is>
          <t>3.3V 低速控制 GPIO</t>
        </is>
      </c>
      <c r="B6" s="4" t="n">
        <v>37</v>
      </c>
      <c r="C6" s="4" t="inlineStr">
        <is>
          <t>3.3V</t>
        </is>
      </c>
      <c r="D6" s="4" t="inlineStr">
        <is>
          <t>HVIO 3.3V bank</t>
        </is>
      </c>
      <c r="E6" s="4" t="inlineStr">
        <is>
          <t>PMU、QSFP 管理、I2C、DEV ID、客户扩展优先集中到 HVIO</t>
        </is>
      </c>
      <c r="F6" s="4" t="inlineStr">
        <is>
          <t>注意 bank 粒度，不只是 pin 数量</t>
        </is>
      </c>
    </row>
    <row r="7" ht="18" customHeight="1">
      <c r="A7" s="4" t="inlineStr">
        <is>
          <t>合计</t>
        </is>
      </c>
      <c r="B7" s="4">
        <f>SUM(B5:B6)</f>
        <v/>
      </c>
      <c r="C7" s="4" t="inlineStr">
        <is>
          <t>—</t>
        </is>
      </c>
      <c r="D7" s="4" t="inlineStr">
        <is>
          <t>—</t>
        </is>
      </c>
      <c r="E7" s="4" t="inlineStr">
        <is>
          <t>—</t>
        </is>
      </c>
      <c r="F7" s="4" t="inlineStr">
        <is>
          <t>应等于 205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4" customWidth="1" min="2" max="2"/>
    <col width="22" customWidth="1" min="3" max="3"/>
    <col width="19" customWidth="1" min="4" max="4"/>
    <col width="22" customWidth="1" min="5" max="5"/>
    <col width="10" customWidth="1" min="6" max="6"/>
    <col width="48" customWidth="1" min="7" max="7"/>
    <col width="48" customWidth="1" min="8" max="8"/>
  </cols>
  <sheetData>
    <row r="1" ht="28" customHeight="1">
      <c r="A1" s="1" t="inlineStr">
        <is>
          <t>A5E 剩余 GPIO 资源汇总</t>
        </is>
      </c>
    </row>
    <row r="2" ht="36" customHeight="1">
      <c r="A2" s="2" t="inlineStr">
        <is>
          <t>按用户当前资源统计口径整理；GTS 按不可用处理。</t>
        </is>
      </c>
    </row>
    <row r="3" ht="18" customHeight="1"/>
    <row r="4" ht="18" customHeight="1">
      <c r="A4" s="3" t="inlineStr">
        <is>
          <t>资源 ID</t>
        </is>
      </c>
      <c r="B4" s="3" t="inlineStr">
        <is>
          <t>GPIO 数量</t>
        </is>
      </c>
      <c r="C4" s="3" t="inlineStr">
        <is>
          <t>来源</t>
        </is>
      </c>
      <c r="D4" s="3" t="inlineStr">
        <is>
          <t>VDDIO 范围 / 特性</t>
        </is>
      </c>
      <c r="E4" s="3" t="inlineStr">
        <is>
          <t>风险项</t>
        </is>
      </c>
      <c r="F4" s="3" t="inlineStr">
        <is>
          <t>可用性</t>
        </is>
      </c>
      <c r="G4" s="3" t="inlineStr">
        <is>
          <t>推荐用途</t>
        </is>
      </c>
      <c r="H4" s="3" t="inlineStr">
        <is>
          <t>待确认证据</t>
        </is>
      </c>
    </row>
    <row r="5" ht="18" customHeight="1">
      <c r="A5" s="5" t="inlineStr">
        <is>
          <t>R1</t>
        </is>
      </c>
      <c r="B5" s="5" t="n">
        <v>120</v>
      </c>
      <c r="C5" s="5" t="inlineStr">
        <is>
          <t>HVIO Bank × 6</t>
        </is>
      </c>
      <c r="D5" s="5" t="inlineStr">
        <is>
          <t>可调 1.2V ~ 3.3V</t>
        </is>
      </c>
      <c r="E5" s="5" t="inlineStr">
        <is>
          <t>最适合承接 3.3V 低速 GPIO</t>
        </is>
      </c>
      <c r="F5" s="5" t="inlineStr">
        <is>
          <t>可用</t>
        </is>
      </c>
      <c r="G5" s="5" t="inlineStr">
        <is>
          <t>优先承接 37 路 3.3V 控制 GPIO；剩余可作为解码板 VADJ 补充资源</t>
        </is>
      </c>
      <c r="H5" s="5" t="inlineStr">
        <is>
          <t>需按 bank 粒度确认每个 HVIO bank 的 VCCIO 与可用 pin 数</t>
        </is>
      </c>
    </row>
    <row r="6" ht="18" customHeight="1">
      <c r="A6" s="6" t="inlineStr">
        <is>
          <t>R2</t>
        </is>
      </c>
      <c r="B6" s="6" t="n">
        <v>26</v>
      </c>
      <c r="C6" s="6" t="inlineStr">
        <is>
          <t>HSIO Bank 2A</t>
        </is>
      </c>
      <c r="D6" s="6" t="inlineStr">
        <is>
          <t>固定 1.2V</t>
        </is>
      </c>
      <c r="E6" s="6" t="inlineStr">
        <is>
          <t>仅适合 1.2V 逻辑</t>
        </is>
      </c>
      <c r="F6" s="6" t="inlineStr">
        <is>
          <t>条件可用</t>
        </is>
      </c>
      <c r="G6" s="6" t="inlineStr">
        <is>
          <t>仅在解码板主体 GPIO 接受本版本固定 1.2V 时可承接</t>
        </is>
      </c>
      <c r="H6" s="6" t="inlineStr">
        <is>
          <t>不能用于 3.3V；若要求 1.2V~1.8V 全范围可调则不满足</t>
        </is>
      </c>
    </row>
    <row r="7" ht="18" customHeight="1">
      <c r="A7" s="6" t="inlineStr">
        <is>
          <t>R3</t>
        </is>
      </c>
      <c r="B7" s="6" t="n">
        <v>24</v>
      </c>
      <c r="C7" s="6" t="inlineStr">
        <is>
          <t>HSIO Bank 2B、3A</t>
        </is>
      </c>
      <c r="D7" s="6" t="inlineStr">
        <is>
          <t>同 LPDDR5 VDDIO 电压</t>
        </is>
      </c>
      <c r="E7" s="6" t="inlineStr">
        <is>
          <t>独立 lane 的可用，共 2 lane</t>
        </is>
      </c>
      <c r="F7" s="6" t="inlineStr">
        <is>
          <t>条件可用</t>
        </is>
      </c>
      <c r="G7" s="6" t="inlineStr">
        <is>
          <t>仅在 LPDDR5 VDDIO 与目标 GPIO 电平兼容且 lane/pin 独立时可承接</t>
        </is>
      </c>
      <c r="H7" s="6" t="inlineStr">
        <is>
          <t>需 Quartus/EMIF/Pin Planner 共同确认，不应破坏 LPDDR5 约束</t>
        </is>
      </c>
    </row>
    <row r="8" ht="18" customHeight="1">
      <c r="A8" s="7" t="inlineStr">
        <is>
          <t>R4</t>
        </is>
      </c>
      <c r="B8" s="7" t="n">
        <v>48</v>
      </c>
      <c r="C8" s="7" t="inlineStr">
        <is>
          <t>HSIO Bank 3B 右边 half</t>
        </is>
      </c>
      <c r="D8" s="7" t="inlineStr">
        <is>
          <t>待确认</t>
        </is>
      </c>
      <c r="E8" s="7" t="inlineStr">
        <is>
          <t>需确认 VDDIO / 复用限制</t>
        </is>
      </c>
      <c r="F8" s="7" t="inlineStr">
        <is>
          <t>待确认</t>
        </is>
      </c>
      <c r="G8" s="7" t="inlineStr">
        <is>
          <t>若确认可跟随解码板 VADJ，则是 168 路解码板 GPIO 的关键资源</t>
        </is>
      </c>
      <c r="H8" s="7" t="inlineStr">
        <is>
          <t>这是严格可调方案的关键风险项</t>
        </is>
      </c>
    </row>
    <row r="9" ht="18" customHeight="1">
      <c r="A9" s="6" t="inlineStr">
        <is>
          <t>R5</t>
        </is>
      </c>
      <c r="B9" s="6" t="n">
        <v>38</v>
      </c>
      <c r="C9" s="6" t="inlineStr">
        <is>
          <t>HSIO Bank 3B 左边 half</t>
        </is>
      </c>
      <c r="D9" s="6" t="inlineStr">
        <is>
          <t>固定 1.2V</t>
        </is>
      </c>
      <c r="E9" s="6" t="inlineStr">
        <is>
          <t>仅适合 1.2V 逻辑</t>
        </is>
      </c>
      <c r="F9" s="6" t="inlineStr">
        <is>
          <t>条件可用</t>
        </is>
      </c>
      <c r="G9" s="6" t="inlineStr">
        <is>
          <t>仅在解码板主体 GPIO 接受本版本固定 1.2V 时可承接</t>
        </is>
      </c>
      <c r="H9" s="6" t="inlineStr">
        <is>
          <t>不能用于 3.3V；若要求 1.2V~1.8V 全范围可调则不满足</t>
        </is>
      </c>
    </row>
    <row r="10" ht="18" customHeight="1">
      <c r="A10" s="8" t="inlineStr">
        <is>
          <t>R6</t>
        </is>
      </c>
      <c r="B10" s="8" t="n">
        <v>0</v>
      </c>
      <c r="C10" s="8" t="inlineStr">
        <is>
          <t>GTS</t>
        </is>
      </c>
      <c r="D10" s="8" t="inlineStr">
        <is>
          <t>—</t>
        </is>
      </c>
      <c r="E10" s="8" t="inlineStr">
        <is>
          <t>不可用</t>
        </is>
      </c>
      <c r="F10" s="8" t="inlineStr">
        <is>
          <t>不可用</t>
        </is>
      </c>
      <c r="G10" s="8" t="inlineStr">
        <is>
          <t>不分配普通低速 GPIO</t>
        </is>
      </c>
      <c r="H10" s="8" t="inlineStr">
        <is>
          <t>QSFP 高速侧已占用 GTS，低速管理信号仍按 3.3V GPIO 进入 HVIO</t>
        </is>
      </c>
    </row>
    <row r="11" ht="18" customHeight="1">
      <c r="A11" s="4" t="inlineStr">
        <is>
          <t>合计</t>
        </is>
      </c>
      <c r="B11" s="4">
        <f>SUM(B5:B10)</f>
        <v/>
      </c>
      <c r="C11" s="4" t="inlineStr"/>
      <c r="D11" s="4" t="inlineStr"/>
      <c r="E11" s="4" t="inlineStr"/>
      <c r="F11" s="4" t="inlineStr"/>
      <c r="G11" s="4" t="inlineStr"/>
      <c r="H11" s="4" t="inlineStr">
        <is>
          <t>应等于 256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33" customWidth="1" min="2" max="2"/>
    <col width="17" customWidth="1" min="3" max="3"/>
    <col width="10" customWidth="1" min="4" max="4"/>
    <col width="43" customWidth="1" min="5" max="5"/>
    <col width="13" customWidth="1" min="6" max="6"/>
    <col width="35" customWidth="1" min="7" max="7"/>
  </cols>
  <sheetData>
    <row r="1" ht="28" customHeight="1">
      <c r="A1" s="1" t="inlineStr">
        <is>
          <t>资源对账与电压兼容性</t>
        </is>
      </c>
    </row>
    <row r="2" ht="36" customHeight="1">
      <c r="A2" s="2" t="inlineStr">
        <is>
          <t>数量口径显示资源足够；电压兼容口径显示解码板可调 VDDIO 是主要闭环风险。</t>
        </is>
      </c>
    </row>
    <row r="3" ht="18" customHeight="1"/>
    <row r="4" ht="18" customHeight="1">
      <c r="A4" s="3" t="inlineStr">
        <is>
          <t>口径</t>
        </is>
      </c>
      <c r="B4" s="3" t="inlineStr">
        <is>
          <t>项目</t>
        </is>
      </c>
      <c r="C4" s="3" t="inlineStr">
        <is>
          <t>数量</t>
        </is>
      </c>
      <c r="D4" s="3" t="inlineStr">
        <is>
          <t>单位</t>
        </is>
      </c>
      <c r="E4" s="3" t="inlineStr">
        <is>
          <t>计算 / 来源</t>
        </is>
      </c>
      <c r="F4" s="3" t="inlineStr">
        <is>
          <t>判断</t>
        </is>
      </c>
      <c r="G4" s="3" t="inlineStr">
        <is>
          <t>说明</t>
        </is>
      </c>
    </row>
    <row r="5" ht="18" customHeight="1">
      <c r="A5" s="5" t="inlineStr">
        <is>
          <t>数量口径</t>
        </is>
      </c>
      <c r="B5" s="5" t="inlineStr">
        <is>
          <t>A5E 可统计 GPIO 资源</t>
        </is>
      </c>
      <c r="C5" s="5" t="n">
        <v>256</v>
      </c>
      <c r="D5" s="5" t="inlineStr"/>
      <c r="E5" s="5" t="inlineStr">
        <is>
          <t>来自 120+26+24+48+38+0</t>
        </is>
      </c>
      <c r="F5" s="5" t="inlineStr">
        <is>
          <t>足够</t>
        </is>
      </c>
      <c r="G5" s="5" t="inlineStr">
        <is>
          <t>理论只看 pin 数</t>
        </is>
      </c>
    </row>
    <row r="6" ht="18" customHeight="1">
      <c r="A6" s="9" t="inlineStr">
        <is>
          <t>数量口径</t>
        </is>
      </c>
      <c r="B6" s="9" t="inlineStr">
        <is>
          <t>低速 GPIO 总需求</t>
        </is>
      </c>
      <c r="C6" s="9" t="n">
        <v>205</v>
      </c>
      <c r="D6" s="9" t="inlineStr"/>
      <c r="E6" s="9" t="inlineStr">
        <is>
          <t>来自 168+37</t>
        </is>
      </c>
      <c r="F6" s="9" t="inlineStr">
        <is>
          <t>—</t>
        </is>
      </c>
      <c r="G6" s="9" t="inlineStr"/>
    </row>
    <row r="7" ht="18" customHeight="1">
      <c r="A7" s="9" t="inlineStr">
        <is>
          <t>数量口径</t>
        </is>
      </c>
      <c r="B7" s="9" t="inlineStr">
        <is>
          <t>理论余量</t>
        </is>
      </c>
      <c r="C7" s="9">
        <f>C5-C6</f>
        <v/>
      </c>
      <c r="D7" s="9" t="inlineStr"/>
      <c r="E7" s="9" t="inlineStr">
        <is>
          <t>256-205</t>
        </is>
      </c>
      <c r="F7" s="9" t="inlineStr">
        <is>
          <t>余量 51</t>
        </is>
      </c>
      <c r="G7" s="9" t="inlineStr">
        <is>
          <t>未扣除 bank 粒度损耗</t>
        </is>
      </c>
    </row>
    <row r="8" ht="18" customHeight="1">
      <c r="A8" s="6" t="inlineStr">
        <is>
          <t>3.3V 域</t>
        </is>
      </c>
      <c r="B8" s="6" t="inlineStr">
        <is>
          <t>3.3V 低速控制 GPIO 需求</t>
        </is>
      </c>
      <c r="C8" s="6" t="n">
        <v>37</v>
      </c>
      <c r="D8" s="6" t="inlineStr"/>
      <c r="E8" s="6" t="inlineStr">
        <is>
          <t>电源 EN + PMU + QSFP + I2C + DEV ID + 扩展 IO</t>
        </is>
      </c>
      <c r="F8" s="6" t="inlineStr">
        <is>
          <t>建议 HVIO 承接</t>
        </is>
      </c>
      <c r="G8" s="6" t="inlineStr">
        <is>
          <t>HSIO/GTS 不适合 3.3V</t>
        </is>
      </c>
    </row>
    <row r="9" ht="18" customHeight="1">
      <c r="A9" s="5" t="inlineStr">
        <is>
          <t>3.3V 域</t>
        </is>
      </c>
      <c r="B9" s="5" t="inlineStr">
        <is>
          <t>HVIO 资源</t>
        </is>
      </c>
      <c r="C9" s="5" t="n">
        <v>120</v>
      </c>
      <c r="D9" s="5" t="inlineStr"/>
      <c r="E9" s="5" t="inlineStr">
        <is>
          <t>HVIO Bank × 6</t>
        </is>
      </c>
      <c r="F9" s="5" t="inlineStr">
        <is>
          <t>可行</t>
        </is>
      </c>
      <c r="G9" s="5" t="inlineStr">
        <is>
          <t>实际需按 bank 粒度切分</t>
        </is>
      </c>
    </row>
    <row r="10" ht="18" customHeight="1">
      <c r="A10" s="5" t="inlineStr">
        <is>
          <t>3.3V 域</t>
        </is>
      </c>
      <c r="B10" s="5" t="inlineStr">
        <is>
          <t>HVIO 承接 3.3V 后剩余</t>
        </is>
      </c>
      <c r="C10" s="5">
        <f>C9-C8</f>
        <v/>
      </c>
      <c r="D10" s="5" t="inlineStr"/>
      <c r="E10" s="5" t="inlineStr">
        <is>
          <t>120-37</t>
        </is>
      </c>
      <c r="F10" s="5" t="inlineStr">
        <is>
          <t>剩余 83</t>
        </is>
      </c>
      <c r="G10" s="5" t="inlineStr">
        <is>
          <t>这是 pin-level 估算</t>
        </is>
      </c>
    </row>
    <row r="11" ht="18" customHeight="1">
      <c r="A11" s="6" t="inlineStr">
        <is>
          <t>解码板域</t>
        </is>
      </c>
      <c r="B11" s="6" t="inlineStr">
        <is>
          <t>解码板主体 GPIO 需求</t>
        </is>
      </c>
      <c r="C11" s="6" t="n">
        <v>168</v>
      </c>
      <c r="D11" s="6" t="inlineStr"/>
      <c r="E11" s="6" t="inlineStr">
        <is>
          <t>要求 VDDIO 可配置 1.2V~1.8V</t>
        </is>
      </c>
      <c r="F11" s="6" t="inlineStr">
        <is>
          <t>关键需求</t>
        </is>
      </c>
      <c r="G11" s="6" t="inlineStr">
        <is>
          <t>需明确“可配置”的工程含义</t>
        </is>
      </c>
    </row>
    <row r="12" ht="18" customHeight="1">
      <c r="A12" s="6" t="inlineStr">
        <is>
          <t>解码板域</t>
        </is>
      </c>
      <c r="B12" s="6" t="inlineStr">
        <is>
          <t>HSIO 候选总数（含条件/待确认）</t>
        </is>
      </c>
      <c r="C12" s="6">
        <f>26+24+48+38</f>
        <v/>
      </c>
      <c r="D12" s="6" t="inlineStr"/>
      <c r="E12" s="6" t="inlineStr">
        <is>
          <t>2A + 2B/3A + 3B right + 3B left</t>
        </is>
      </c>
      <c r="F12" s="6" t="inlineStr">
        <is>
          <t>条件成立时可计 136</t>
        </is>
      </c>
      <c r="G12" s="6" t="inlineStr">
        <is>
          <t>其中固定 1.2V 与 LPDDR5 同压不等于全范围可调</t>
        </is>
      </c>
    </row>
    <row r="13" ht="18" customHeight="1">
      <c r="A13" s="9" t="inlineStr">
        <is>
          <t>解码板域</t>
        </is>
      </c>
      <c r="B13" s="9" t="inlineStr">
        <is>
          <t>若 HSIO 候选全成立，解码板仍需 HVIO 补充</t>
        </is>
      </c>
      <c r="C13" s="9">
        <f>MAX(0,C11-C12)</f>
        <v/>
      </c>
      <c r="D13" s="9" t="inlineStr"/>
      <c r="E13" s="9" t="inlineStr">
        <is>
          <t>168-136</t>
        </is>
      </c>
      <c r="F13" s="9" t="inlineStr">
        <is>
          <t>需 HVIO 32</t>
        </is>
      </c>
      <c r="G13" s="9" t="inlineStr">
        <is>
          <t>数量上可行，但电压语义需确认</t>
        </is>
      </c>
    </row>
    <row r="14" ht="18" customHeight="1">
      <c r="A14" s="10" t="inlineStr">
        <is>
          <t>严格可调口径</t>
        </is>
      </c>
      <c r="B14" s="10" t="inlineStr">
        <is>
          <t>保留 37 路 HVIO 给 3.3V 后，解码板可调资源上限</t>
        </is>
      </c>
      <c r="C14" s="10">
        <f>C10+48</f>
        <v/>
      </c>
      <c r="D14" s="10" t="inlineStr"/>
      <c r="E14" s="10" t="inlineStr">
        <is>
          <t>HVIO 剩余 83 + 3B right 48（假设 3B right 可调）</t>
        </is>
      </c>
      <c r="F14" s="10" t="inlineStr">
        <is>
          <t>缺口 37</t>
        </is>
      </c>
      <c r="G14" s="10" t="inlineStr">
        <is>
          <t>若每路必须支持 1.2V~1.8V 可调，则不闭合</t>
        </is>
      </c>
    </row>
    <row r="15" ht="18" customHeight="1">
      <c r="A15" s="10" t="inlineStr">
        <is>
          <t>严格可调口径</t>
        </is>
      </c>
      <c r="B15" s="10" t="inlineStr">
        <is>
          <t>严格可调口径缺口</t>
        </is>
      </c>
      <c r="C15" s="10">
        <f>MAX(0,C11-C14)</f>
        <v/>
      </c>
      <c r="D15" s="10" t="inlineStr"/>
      <c r="E15" s="10" t="inlineStr">
        <is>
          <t>168-131</t>
        </is>
      </c>
      <c r="F15" s="10" t="inlineStr">
        <is>
          <t>缺口 37</t>
        </is>
      </c>
      <c r="G15" s="10" t="inlineStr">
        <is>
          <t>需释放 HVIO、增加 IO 扩展/电平转换，或放宽解码板电压要求</t>
        </is>
      </c>
    </row>
    <row r="16" ht="18" customHeight="1">
      <c r="A16" s="10" t="inlineStr">
        <is>
          <t>最差关键项</t>
        </is>
      </c>
      <c r="B16" s="10" t="inlineStr">
        <is>
          <t>若 3B right 不支持解码板 VADJ</t>
        </is>
      </c>
      <c r="C16" s="10">
        <f>C10</f>
        <v/>
      </c>
      <c r="D16" s="10" t="inlineStr"/>
      <c r="E16" s="10" t="inlineStr">
        <is>
          <t>只有 HVIO 剩余 83 可严格可调</t>
        </is>
      </c>
      <c r="F16" s="10" t="inlineStr">
        <is>
          <t>缺口 85</t>
        </is>
      </c>
      <c r="G16" s="10" t="inlineStr">
        <is>
          <t>这是必须优先确认的风险项</t>
        </is>
      </c>
    </row>
  </sheetData>
  <mergeCells count="2">
    <mergeCell ref="A2:G2"/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48" customWidth="1" min="3" max="3"/>
    <col width="26" customWidth="1" min="4" max="4"/>
    <col width="48" customWidth="1" min="5" max="5"/>
    <col width="29" customWidth="1" min="6" max="6"/>
    <col width="10" customWidth="1" min="7" max="7"/>
    <col width="48" customWidth="1" min="8" max="8"/>
  </cols>
  <sheetData>
    <row r="1" ht="28" customHeight="1">
      <c r="A1" s="1" t="inlineStr">
        <is>
          <t>分配方案比较</t>
        </is>
      </c>
    </row>
    <row r="2" ht="36" customHeight="1">
      <c r="A2" s="2" t="inlineStr">
        <is>
          <t>把“数量够”和“电压域满足”拆开，避免把固定 1.2V 资源误当成解码板全范围可调资源。</t>
        </is>
      </c>
    </row>
    <row r="3" ht="18" customHeight="1"/>
    <row r="4" ht="18" customHeight="1">
      <c r="A4" s="3" t="inlineStr">
        <is>
          <t>方案</t>
        </is>
      </c>
      <c r="B4" s="3" t="inlineStr">
        <is>
          <t>目标</t>
        </is>
      </c>
      <c r="C4" s="3" t="inlineStr">
        <is>
          <t>GPIO 分配思路</t>
        </is>
      </c>
      <c r="D4" s="3" t="inlineStr">
        <is>
          <t>优势</t>
        </is>
      </c>
      <c r="E4" s="3" t="inlineStr">
        <is>
          <t>主要限制 / 风险</t>
        </is>
      </c>
      <c r="F4" s="3" t="inlineStr">
        <is>
          <t>适用条件</t>
        </is>
      </c>
      <c r="G4" s="3" t="inlineStr">
        <is>
          <t>风险等级</t>
        </is>
      </c>
      <c r="H4" s="3" t="inlineStr">
        <is>
          <t>下一步动作</t>
        </is>
      </c>
    </row>
    <row r="5" ht="18" customHeight="1">
      <c r="A5" s="4" t="inlineStr">
        <is>
          <t>方案 A</t>
        </is>
      </c>
      <c r="B5" s="4" t="inlineStr">
        <is>
          <t>数量优先 / 当前统计口径</t>
        </is>
      </c>
      <c r="C5" s="4" t="inlineStr">
        <is>
          <t>37 路 3.3V 全部放 HVIO；168 路解码板由 HSIO 条件资源 136 + HVIO 32 承接</t>
        </is>
      </c>
      <c r="D5" s="4" t="inlineStr">
        <is>
          <t>数量闭合：256 对 205，理论余量 51</t>
        </is>
      </c>
      <c r="E5" s="4" t="inlineStr">
        <is>
          <t>固定 1.2V、LPDDR5 同压、3B right 待确认资源被计入解码板候选；不自动满足 1.2V~1.8V 全范围可调</t>
        </is>
      </c>
      <c r="F5" s="4" t="inlineStr">
        <is>
          <t>仅适合早期布局可行性草案</t>
        </is>
      </c>
      <c r="G5" s="6" t="inlineStr">
        <is>
          <t>中</t>
        </is>
      </c>
      <c r="H5" s="4" t="inlineStr">
        <is>
          <t>继续做 Pin Planner 粗分配，但标记电压语义风险</t>
        </is>
      </c>
    </row>
    <row r="6" ht="18" customHeight="1">
      <c r="A6" s="4" t="inlineStr">
        <is>
          <t>方案 B</t>
        </is>
      </c>
      <c r="B6" s="4" t="inlineStr">
        <is>
          <t>严格满足解码板每路 1.2V~1.8V 可调</t>
        </is>
      </c>
      <c r="C6" s="4" t="inlineStr">
        <is>
          <t>解码板优先使用 HVIO VADJ + 3B right（若 3B right 证明可调）；3.3V 控制仍需 HVIO</t>
        </is>
      </c>
      <c r="D6" s="4" t="inlineStr">
        <is>
          <t>当前 pin-level 估算存在 37 路缺口</t>
        </is>
      </c>
      <c r="E6" s="4" t="inlineStr">
        <is>
          <t>如果 3B right 不可调，缺口扩大到 85；如果把全部 HVIO 给解码板，37 路 3.3V 无处放</t>
        </is>
      </c>
      <c r="F6" s="4" t="inlineStr">
        <is>
          <t>只有在增加资源或迁移 3.3V GPIO 后才可闭合</t>
        </is>
      </c>
      <c r="G6" s="10" t="inlineStr">
        <is>
          <t>高</t>
        </is>
      </c>
      <c r="H6" s="4" t="inlineStr">
        <is>
          <t>优先确认 3B right VDDIO；评估 I2C GPIO expander、CPLD/MCU 托管、或减少解码板 GPIO</t>
        </is>
      </c>
    </row>
    <row r="7" ht="18" customHeight="1">
      <c r="A7" s="4" t="inlineStr">
        <is>
          <t>方案 C</t>
        </is>
      </c>
      <c r="B7" s="4" t="inlineStr">
        <is>
          <t>解码板本版本固定 1.2V</t>
        </is>
      </c>
      <c r="C7" s="4" t="inlineStr">
        <is>
          <t>3.3V 控制放 HVIO；解码板主体可使用固定 1.2V HSIO + LPDDR5 同压条件资源 + 3B right + HVIO补充</t>
        </is>
      </c>
      <c r="D7" s="4" t="inlineStr">
        <is>
          <t>数量上最容易闭合</t>
        </is>
      </c>
      <c r="E7" s="4" t="inlineStr">
        <is>
          <t>不满足“可配置 1.2V~1.8V”的原始强需求；后续若要 1.8V 会返工</t>
        </is>
      </c>
      <c r="F7" s="4" t="inlineStr">
        <is>
          <t>可作为降规格/阶段性验证方案</t>
        </is>
      </c>
      <c r="G7" s="7" t="inlineStr">
        <is>
          <t>中高</t>
        </is>
      </c>
      <c r="H7" s="4" t="inlineStr">
        <is>
          <t>需要项目明确批准需求降级，并在连接器/解码板文档中冻结电压</t>
        </is>
      </c>
    </row>
    <row r="8" ht="18" customHeight="1">
      <c r="A8" s="4" t="inlineStr">
        <is>
          <t>方案 D</t>
        </is>
      </c>
      <c r="B8" s="4" t="inlineStr">
        <is>
          <t>释放 HVIO：3.3V 低速控制外移</t>
        </is>
      </c>
      <c r="C8" s="4" t="inlineStr">
        <is>
          <t>将 PMU/QSFP/I2C/DEV ID/扩展 IO 的一部分移到 I/O expander、CPLD、MCU 或低速桥接器，减少 FPGA 3.3V GPIO 消耗</t>
        </is>
      </c>
      <c r="D8" s="4" t="inlineStr">
        <is>
          <t>可把 HVIO 留给解码板 VADJ</t>
        </is>
      </c>
      <c r="E8" s="4" t="inlineStr">
        <is>
          <t>增加 BOM、软件初始化、I2C/SPI 时序依赖和单点故障</t>
        </is>
      </c>
      <c r="F8" s="4" t="inlineStr">
        <is>
          <t>适合严格要求 168 路解码板可调 VDDIO 的版本</t>
        </is>
      </c>
      <c r="G8" s="6" t="inlineStr">
        <is>
          <t>中</t>
        </is>
      </c>
      <c r="H8" s="4" t="inlineStr">
        <is>
          <t>先统计 37 路中哪些必须直连 FPGA，哪些可低速托管</t>
        </is>
      </c>
    </row>
    <row r="9" ht="18" customHeight="1">
      <c r="A9" s="4" t="inlineStr">
        <is>
          <t>方案 E</t>
        </is>
      </c>
      <c r="B9" s="4" t="inlineStr">
        <is>
          <t>解码板加电平转换 / 分组</t>
        </is>
      </c>
      <c r="C9" s="4" t="inlineStr">
        <is>
          <t>FPGA 侧使用固定 1.2V HSIO，连接器侧通过 level shifter 或解码板侧电平策略支持 1.2V~1.8V</t>
        </is>
      </c>
      <c r="D9" s="4" t="inlineStr">
        <is>
          <t>可消化固定 1.2V HSIO 资源</t>
        </is>
      </c>
      <c r="E9" s="4" t="inlineStr">
        <is>
          <t>需要方向性、速率、上电顺序、热插拔/反灌、默认态验证</t>
        </is>
      </c>
      <c r="F9" s="4" t="inlineStr">
        <is>
          <t>适合信号方向明确、速率低、可接受额外器件的 GPIO</t>
        </is>
      </c>
      <c r="G9" s="6" t="inlineStr">
        <is>
          <t>中</t>
        </is>
      </c>
      <c r="H9" s="4" t="inlineStr">
        <is>
          <t>按 168 路拆分输入/输出/双向/开漏，决定 level shifter 类型和数量</t>
        </is>
      </c>
    </row>
  </sheetData>
  <mergeCells count="2">
    <mergeCell ref="A2:H2"/>
    <mergeCell ref="A1:H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10" customWidth="1" min="2" max="2"/>
    <col width="33" customWidth="1" min="3" max="3"/>
    <col width="23" customWidth="1" min="4" max="4"/>
    <col width="45" customWidth="1" min="5" max="5"/>
    <col width="48" customWidth="1" min="6" max="6"/>
  </cols>
  <sheetData>
    <row r="1" ht="28" customHeight="1">
      <c r="A1" s="1" t="inlineStr">
        <is>
          <t>信号域设计细节</t>
        </is>
      </c>
    </row>
    <row r="2" ht="36" customHeight="1">
      <c r="A2" s="2" t="inlineStr">
        <is>
          <t>对低速 GPIO 按用途补充原理图和 Pin Planner 层面的设计约束。</t>
        </is>
      </c>
    </row>
    <row r="3" ht="18" customHeight="1"/>
    <row r="4" ht="18" customHeight="1">
      <c r="A4" s="3" t="inlineStr">
        <is>
          <t>信号组</t>
        </is>
      </c>
      <c r="B4" s="3" t="inlineStr">
        <is>
          <t>数量</t>
        </is>
      </c>
      <c r="C4" s="3" t="inlineStr">
        <is>
          <t>电平域</t>
        </is>
      </c>
      <c r="D4" s="3" t="inlineStr">
        <is>
          <t>接口 / 来源</t>
        </is>
      </c>
      <c r="E4" s="3" t="inlineStr">
        <is>
          <t>原理图设计建议</t>
        </is>
      </c>
      <c r="F4" s="3" t="inlineStr">
        <is>
          <t>必须确认项</t>
        </is>
      </c>
    </row>
    <row r="5" ht="18" customHeight="1">
      <c r="A5" s="4" t="inlineStr">
        <is>
          <t>解码板主体 GPIO</t>
        </is>
      </c>
      <c r="B5" s="4" t="n">
        <v>168</v>
      </c>
      <c r="C5" s="4" t="inlineStr">
        <is>
          <t>1.2V~1.8V VADJ / 或本版本固定 1.2V 待定</t>
        </is>
      </c>
      <c r="D5" s="4" t="inlineStr">
        <is>
          <t>连接器 10144518-102802LF</t>
        </is>
      </c>
      <c r="E5" s="4" t="inlineStr">
        <is>
          <t>尽量保持同一解码板电压域分组；避免混入固定 1.2V 后仍宣称全范围可调</t>
        </is>
      </c>
      <c r="F5" s="4" t="inlineStr">
        <is>
          <t>每个 bank 的 VCCIO、方向、默认态、上拉/下拉、ESD/串阻、跨板线长</t>
        </is>
      </c>
    </row>
    <row r="6" ht="18" customHeight="1">
      <c r="A6" s="4" t="inlineStr">
        <is>
          <t>解码板电源 EN</t>
        </is>
      </c>
      <c r="B6" s="4" t="n">
        <v>4</v>
      </c>
      <c r="C6" s="4" t="inlineStr">
        <is>
          <t>3.3V</t>
        </is>
      </c>
      <c r="D6" s="4" t="inlineStr">
        <is>
          <t>解码板电源树</t>
        </is>
      </c>
      <c r="E6" s="4" t="inlineStr">
        <is>
          <t>归入 3.3V 控制域，输出默认态必须保证不上电误使能</t>
        </is>
      </c>
      <c r="F6" s="4" t="inlineStr">
        <is>
          <t>上电时序、复位态、FPGA 配置前/后管脚状态</t>
        </is>
      </c>
    </row>
    <row r="7" ht="18" customHeight="1">
      <c r="A7" s="4" t="inlineStr">
        <is>
          <t>PMU 板控制/状态</t>
        </is>
      </c>
      <c r="B7" s="4" t="n">
        <v>14</v>
      </c>
      <c r="C7" s="4" t="inlineStr">
        <is>
          <t>3.3V</t>
        </is>
      </c>
      <c r="D7" s="4" t="inlineStr">
        <is>
          <t>连接器 10144518-061802LF</t>
        </is>
      </c>
      <c r="E7" s="4" t="inlineStr">
        <is>
          <t>PMU 控制输出与状态输入分开命名；状态输入考虑去抖/滤波/中断</t>
        </is>
      </c>
      <c r="F7" s="4" t="inlineStr">
        <is>
          <t>PMU 默认态、故障信号电平、上拉电源域</t>
        </is>
      </c>
    </row>
    <row r="8" ht="18" customHeight="1">
      <c r="A8" s="4" t="inlineStr">
        <is>
          <t>QSFP 低速管理</t>
        </is>
      </c>
      <c r="B8" s="4" t="n">
        <v>7</v>
      </c>
      <c r="C8" s="4" t="inlineStr">
        <is>
          <t>3.3V</t>
        </is>
      </c>
      <c r="D8" s="4" t="inlineStr">
        <is>
          <t>QSFP Cage/Module 管理信号</t>
        </is>
      </c>
      <c r="E8" s="4" t="inlineStr">
        <is>
          <t>高速链路走 GTS；低速管理 GPIO 放 HVIO；I2C 按 open-drain</t>
        </is>
      </c>
      <c r="F8" s="4" t="inlineStr">
        <is>
          <t>MODPRS/INT 输入上拉位置，RESET/LPMODE 默认态，I2C pull-up 到 QSFP 管理电源</t>
        </is>
      </c>
    </row>
    <row r="9" ht="18" customHeight="1">
      <c r="A9" s="4" t="inlineStr">
        <is>
          <t>加密 / 注册芯片 I2C</t>
        </is>
      </c>
      <c r="B9" s="4" t="n">
        <v>4</v>
      </c>
      <c r="C9" s="4" t="inlineStr">
        <is>
          <t>3.3V</t>
        </is>
      </c>
      <c r="D9" s="4" t="inlineStr">
        <is>
          <t>加密芯片/寄存器芯片</t>
        </is>
      </c>
      <c r="E9" s="4" t="inlineStr">
        <is>
          <t>确认是否为两组 I2C 或复用总线；避免地址冲突</t>
        </is>
      </c>
      <c r="F9" s="4" t="inlineStr">
        <is>
          <t>上拉阻值、启动时序、总线隔离、FPGA 配置前状态</t>
        </is>
      </c>
    </row>
    <row r="10" ht="18" customHeight="1">
      <c r="A10" s="4" t="inlineStr">
        <is>
          <t>DEV ID</t>
        </is>
      </c>
      <c r="B10" s="4" t="n">
        <v>4</v>
      </c>
      <c r="C10" s="4" t="inlineStr">
        <is>
          <t>3.3V</t>
        </is>
      </c>
      <c r="D10" s="4" t="inlineStr">
        <is>
          <t>板卡 ID strap</t>
        </is>
      </c>
      <c r="E10" s="4" t="inlineStr">
        <is>
          <t>输入脚配置成稳定采样；上下拉组合形成量产 ID 表</t>
        </is>
      </c>
      <c r="F10" s="4" t="inlineStr">
        <is>
          <t>默认值、容差、是否需要防呆电阻位</t>
        </is>
      </c>
    </row>
    <row r="11" ht="18" customHeight="1">
      <c r="A11" s="4" t="inlineStr">
        <is>
          <t>客户外部扩展 IO</t>
        </is>
      </c>
      <c r="B11" s="4" t="n">
        <v>4</v>
      </c>
      <c r="C11" s="4" t="inlineStr">
        <is>
          <t>3.3V</t>
        </is>
      </c>
      <c r="D11" s="4" t="inlineStr">
        <is>
          <t>外部客户接口</t>
        </is>
      </c>
      <c r="E11" s="4" t="inlineStr">
        <is>
          <t>默认作为受保护 GPIO；原理图加串阻/ESD/方向标注</t>
        </is>
      </c>
      <c r="F11" s="4" t="inlineStr">
        <is>
          <t>外部反灌、热插拔、短路保护、最大负载</t>
        </is>
      </c>
    </row>
  </sheetData>
  <mergeCells count="2">
    <mergeCell ref="A2:F2"/>
    <mergeCell ref="A1:F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26" customWidth="1" min="2" max="2"/>
    <col width="48" customWidth="1" min="3" max="3"/>
    <col width="20" customWidth="1" min="4" max="4"/>
    <col width="46" customWidth="1" min="5" max="5"/>
    <col width="10" customWidth="1" min="6" max="6"/>
    <col width="40" customWidth="1" min="7" max="7"/>
  </cols>
  <sheetData>
    <row r="1" ht="28" customHeight="1">
      <c r="A1" s="1" t="inlineStr">
        <is>
          <t>待确认闭环项</t>
        </is>
      </c>
    </row>
    <row r="2" ht="36" customHeight="1">
      <c r="A2" s="2" t="inlineStr">
        <is>
          <t>这些项决定“理论余量 51”能否变成可画图、可编译、可发板的 GPIO 分配。</t>
        </is>
      </c>
    </row>
    <row r="3" ht="18" customHeight="1"/>
    <row r="4" ht="18" customHeight="1">
      <c r="A4" s="3" t="inlineStr">
        <is>
          <t>序号</t>
        </is>
      </c>
      <c r="B4" s="3" t="inlineStr">
        <is>
          <t>闭环项</t>
        </is>
      </c>
      <c r="C4" s="3" t="inlineStr">
        <is>
          <t>要确认的问题</t>
        </is>
      </c>
      <c r="D4" s="3" t="inlineStr">
        <is>
          <t>Owner</t>
        </is>
      </c>
      <c r="E4" s="3" t="inlineStr">
        <is>
          <t>证据来源</t>
        </is>
      </c>
      <c r="F4" s="3" t="inlineStr">
        <is>
          <t>状态</t>
        </is>
      </c>
      <c r="G4" s="3" t="inlineStr">
        <is>
          <t>影响</t>
        </is>
      </c>
    </row>
    <row r="5" ht="18" customHeight="1">
      <c r="A5" s="4" t="n">
        <v>1</v>
      </c>
      <c r="B5" s="4" t="inlineStr">
        <is>
          <t>解码板 VDDIO 语义</t>
        </is>
      </c>
      <c r="C5" s="4" t="inlineStr">
        <is>
          <t>明确 168 路是否要求每一路都支持 1.2V~1.8V 全范围可调，还是当前版本固定 1.2V 即可</t>
        </is>
      </c>
      <c r="D5" s="4" t="inlineStr">
        <is>
          <t>需求 / 架构</t>
        </is>
      </c>
      <c r="E5" s="4" t="inlineStr">
        <is>
          <t>项目需求文档、解码板规格、连接器定义</t>
        </is>
      </c>
      <c r="F5" s="10" t="inlineStr">
        <is>
          <t>未闭环</t>
        </is>
      </c>
      <c r="G5" s="4" t="inlineStr">
        <is>
          <t>决定固定 1.2V HSIO 能否计入可用资源</t>
        </is>
      </c>
    </row>
    <row r="6" ht="18" customHeight="1">
      <c r="A6" s="4" t="n">
        <v>2</v>
      </c>
      <c r="B6" s="4" t="inlineStr">
        <is>
          <t>HSIO 3B right half VDDIO</t>
        </is>
      </c>
      <c r="C6" s="4" t="inlineStr">
        <is>
          <t>确认 48 路是否可作为解码板 VADJ 资源，以及是否有 MIPI/复用/封装限制</t>
        </is>
      </c>
      <c r="D6" s="4" t="inlineStr">
        <is>
          <t>FPGA / Pin Planner</t>
        </is>
      </c>
      <c r="E6" s="4" t="inlineStr">
        <is>
          <t>Intel datasheet、Pin Planner、reference design</t>
        </is>
      </c>
      <c r="F6" s="10" t="inlineStr">
        <is>
          <t>未闭环</t>
        </is>
      </c>
      <c r="G6" s="4" t="inlineStr">
        <is>
          <t>严格可调方案的关键资源</t>
        </is>
      </c>
    </row>
    <row r="7" ht="18" customHeight="1">
      <c r="A7" s="4" t="n">
        <v>3</v>
      </c>
      <c r="B7" s="4" t="inlineStr">
        <is>
          <t>LPDDR5 同压资源</t>
        </is>
      </c>
      <c r="C7" s="4" t="inlineStr">
        <is>
          <t>确认 HSIO Bank 2B、3A 的 24 路独立 lane 是否能作为 GPIO 且不破坏 LPDDR5 EMIF 约束</t>
        </is>
      </c>
      <c r="D7" s="4" t="inlineStr">
        <is>
          <t>FPGA / EMIF</t>
        </is>
      </c>
      <c r="E7" s="4" t="inlineStr">
        <is>
          <t>Quartus EMIF、Fitter、pinout report</t>
        </is>
      </c>
      <c r="F7" s="10" t="inlineStr">
        <is>
          <t>未闭环</t>
        </is>
      </c>
      <c r="G7" s="4" t="inlineStr">
        <is>
          <t>不能只按 pin 数计入</t>
        </is>
      </c>
    </row>
    <row r="8" ht="18" customHeight="1">
      <c r="A8" s="4" t="n">
        <v>4</v>
      </c>
      <c r="B8" s="4" t="inlineStr">
        <is>
          <t>HVIO bank 粒度</t>
        </is>
      </c>
      <c r="C8" s="4" t="inlineStr">
        <is>
          <t>将 120 个 HVIO 拆到 6 个 bank，确认每个 bank 的 VCCIO、可用 pin、邻近连接器布线能力</t>
        </is>
      </c>
      <c r="D8" s="4" t="inlineStr">
        <is>
          <t>FPGA / Layout</t>
        </is>
      </c>
      <c r="E8" s="4" t="inlineStr">
        <is>
          <t>Pin Planner bank report、封装 pin 表</t>
        </is>
      </c>
      <c r="F8" s="10" t="inlineStr">
        <is>
          <t>未闭环</t>
        </is>
      </c>
      <c r="G8" s="4" t="inlineStr">
        <is>
          <t>37 路 3.3V 与 168 路 VADJ 的实际冲突要按 bank 评估</t>
        </is>
      </c>
    </row>
    <row r="9" ht="18" customHeight="1">
      <c r="A9" s="4" t="n">
        <v>5</v>
      </c>
      <c r="B9" s="4" t="inlineStr">
        <is>
          <t>3.3V GPIO 可外移性</t>
        </is>
      </c>
      <c r="C9" s="4" t="inlineStr">
        <is>
          <t>37 路 3.3V 中哪些必须直连 FPGA，哪些可由 I/O expander/CPLD/MCU 承接</t>
        </is>
      </c>
      <c r="D9" s="4" t="inlineStr">
        <is>
          <t>系统设计</t>
        </is>
      </c>
      <c r="E9" s="4" t="inlineStr">
        <is>
          <t>低速控制时序、启动依赖、软件初始化流程</t>
        </is>
      </c>
      <c r="F9" s="6" t="inlineStr">
        <is>
          <t>建议评估</t>
        </is>
      </c>
      <c r="G9" s="4" t="inlineStr">
        <is>
          <t>若严格 VADJ 不闭合，这是最直接的资源释放手段</t>
        </is>
      </c>
    </row>
    <row r="10" ht="18" customHeight="1">
      <c r="A10" s="4" t="n">
        <v>6</v>
      </c>
      <c r="B10" s="4" t="inlineStr">
        <is>
          <t>Pin Planner 粗分配</t>
        </is>
      </c>
      <c r="C10" s="4" t="inlineStr">
        <is>
          <t>建立 net group：DEC_GPIO[167:0]、GPIO_3V3_CTRL[36:0]，禁止 GTS 低速复用，验证 fitter 是否接受</t>
        </is>
      </c>
      <c r="D10" s="4" t="inlineStr">
        <is>
          <t>实现验证</t>
        </is>
      </c>
      <c r="E10" s="4" t="inlineStr">
        <is>
          <t>Quartus project、.qsf、fitter report</t>
        </is>
      </c>
      <c r="F10" s="6" t="inlineStr">
        <is>
          <t>未开始</t>
        </is>
      </c>
      <c r="G10" s="4" t="inlineStr">
        <is>
          <t>把表格数量风险转成工具证据</t>
        </is>
      </c>
    </row>
    <row r="11" ht="18" customHeight="1">
      <c r="A11" s="4" t="n">
        <v>7</v>
      </c>
      <c r="B11" s="4" t="inlineStr">
        <is>
          <t>原理图页拆解</t>
        </is>
      </c>
      <c r="C11" s="4" t="inlineStr">
        <is>
          <t>按主芯片 GPIO bank 页、解码板连接器页、3.3V 控制接口页、power sequencing 页组织设计</t>
        </is>
      </c>
      <c r="D11" s="4" t="inlineStr">
        <is>
          <t>原理图执行</t>
        </is>
      </c>
      <c r="E11" s="4" t="inlineStr">
        <is>
          <t>schematic_execution_plan.md 或等价章节</t>
        </is>
      </c>
      <c r="F11" s="8" t="inlineStr">
        <is>
          <t>建议创建</t>
        </is>
      </c>
      <c r="G11" s="4" t="inlineStr">
        <is>
          <t>满足原理图任务规划与工时估计要求</t>
        </is>
      </c>
    </row>
  </sheetData>
  <mergeCells count="2">
    <mergeCell ref="A2:G2"/>
    <mergeCell ref="A1:G1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1" customWidth="1" min="1" max="1"/>
    <col width="48" customWidth="1" min="2" max="2"/>
    <col width="48" customWidth="1" min="3" max="3"/>
    <col width="10" customWidth="1" min="4" max="4"/>
  </cols>
  <sheetData>
    <row r="1" ht="28" customHeight="1">
      <c r="A1" s="1" t="inlineStr">
        <is>
          <t>决策层摘要</t>
        </is>
      </c>
    </row>
    <row r="2" ht="36" customHeight="1">
      <c r="A2" s="2" t="inlineStr">
        <is>
          <t>给项目经理/跨部门看的版本：把 GPIO 技术约束翻译成排期、返工和物料风险。</t>
        </is>
      </c>
    </row>
    <row r="3" ht="18" customHeight="1"/>
    <row r="4" ht="18" customHeight="1">
      <c r="A4" s="3" t="inlineStr">
        <is>
          <t>类别</t>
        </is>
      </c>
      <c r="B4" s="3" t="inlineStr">
        <is>
          <t>技术事实</t>
        </is>
      </c>
      <c r="C4" s="3" t="inlineStr">
        <is>
          <t>业务影响</t>
        </is>
      </c>
      <c r="D4" s="3" t="inlineStr">
        <is>
          <t>风险等级</t>
        </is>
      </c>
    </row>
    <row r="5" ht="18" customHeight="1">
      <c r="A5" s="4" t="inlineStr">
        <is>
          <t>当前结论</t>
        </is>
      </c>
      <c r="B5" s="4" t="inlineStr">
        <is>
          <t>单纯按数量看，A5E 剩余 GPIO 为 256，低速需求为 205，理论余量 51。</t>
        </is>
      </c>
      <c r="C5" s="4" t="inlineStr">
        <is>
          <t>可以继续推进 GPIO 分配草案，但不能把数量余量直接当成设计闭环。</t>
        </is>
      </c>
      <c r="D5" s="5" t="inlineStr">
        <is>
          <t>低</t>
        </is>
      </c>
    </row>
    <row r="6" ht="18" customHeight="1">
      <c r="A6" s="4" t="inlineStr">
        <is>
          <t>主要风险</t>
        </is>
      </c>
      <c r="B6" s="4" t="inlineStr">
        <is>
          <t>解码板 168 路要求 1.2V~1.8V 可配置；而部分剩余资源固定 1.2V 或跟随 LPDDR5 VDDIO。</t>
        </is>
      </c>
      <c r="C6" s="4" t="inlineStr">
        <is>
          <t>如果后续必须支持 1.8V，已经画到固定 1.2V bank 的部分会返工，影响原理图、layout、Pin Planner 和验证。</t>
        </is>
      </c>
      <c r="D6" s="10" t="inlineStr">
        <is>
          <t>高</t>
        </is>
      </c>
    </row>
    <row r="7" ht="18" customHeight="1">
      <c r="A7" s="4" t="inlineStr">
        <is>
          <t>关键证据缺口</t>
        </is>
      </c>
      <c r="B7" s="4" t="inlineStr">
        <is>
          <t>HSIO 3B right half 的 VDDIO / 复用限制未确认。</t>
        </is>
      </c>
      <c r="C7" s="4" t="inlineStr">
        <is>
          <t>这 48 路决定严格可调方案是否只缺 37 路，还是扩大到 85 路缺口。</t>
        </is>
      </c>
      <c r="D7" s="10" t="inlineStr">
        <is>
          <t>高</t>
        </is>
      </c>
    </row>
    <row r="8" ht="18" customHeight="1">
      <c r="A8" s="4" t="inlineStr">
        <is>
          <t>推荐决策</t>
        </is>
      </c>
      <c r="B8" s="4" t="inlineStr">
        <is>
          <t>先冻结电压策略：解码板是否必须每路全范围可调；同时跑 Pin Planner 粗分配。</t>
        </is>
      </c>
      <c r="C8" s="4" t="inlineStr">
        <is>
          <t>这一步完成前，不建议宣称 GPIO 已闭环或进入 sign-off。</t>
        </is>
      </c>
      <c r="D8" s="10" t="inlineStr">
        <is>
          <t>高</t>
        </is>
      </c>
    </row>
    <row r="9" ht="18" customHeight="1">
      <c r="A9" s="4" t="inlineStr">
        <is>
          <t>可选缓解</t>
        </is>
      </c>
      <c r="B9" s="4" t="inlineStr">
        <is>
          <t>把一部分 3.3V 低速控制信号外移到 I/O expander/CPLD/MCU，或对解码板 GPIO 做 level shifter / 分组。</t>
        </is>
      </c>
      <c r="C9" s="4" t="inlineStr">
        <is>
          <t>可释放 HVIO 给解码板 VADJ，但会增加 BOM、软件初始化和验证工作。</t>
        </is>
      </c>
      <c r="D9" s="6" t="inlineStr">
        <is>
          <t>中</t>
        </is>
      </c>
    </row>
  </sheetData>
  <mergeCells count="2">
    <mergeCell ref="A1:D1"/>
    <mergeCell ref="A2:D2"/>
  </mergeCell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2026-05-12T13:01:09Z</dcterms:created>
  <dcterms:modified xmlns:dcterms="http://purl.org/dc/terms/" xmlns:xsi="http://www.w3.org/2001/XMLSchema-instance" xsi:type="dcterms:W3CDTF">2026-05-12T13:01:09Z</dcterms:modified>
</cp:coreProperties>
</file>